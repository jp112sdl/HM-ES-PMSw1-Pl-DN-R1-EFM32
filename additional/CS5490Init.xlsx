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pechj/Documents/Arduino/ECHT-Einsatz/EFM32/HM-ES-PMSw1-Pl-DN-R1-EFM32/additional/"/>
    </mc:Choice>
  </mc:AlternateContent>
  <xr:revisionPtr revIDLastSave="0" documentId="13_ncr:1_{90504B81-2DFD-2B4D-B636-CFB12BB96564}" xr6:coauthVersionLast="47" xr6:coauthVersionMax="47" xr10:uidLastSave="{00000000-0000-0000-0000-000000000000}"/>
  <bookViews>
    <workbookView xWindow="0" yWindow="800" windowWidth="40960" windowHeight="25100" xr2:uid="{00000000-000D-0000-FFFF-FFFF00000000}"/>
  </bookViews>
  <sheets>
    <sheet name="HM-ES-PMSw1-PL" sheetId="1" r:id="rId1"/>
    <sheet name="Auslesen" sheetId="2" r:id="rId2"/>
    <sheet name="Berechnu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G19" i="1"/>
  <c r="H18" i="1"/>
  <c r="H7" i="1"/>
  <c r="C8" i="1"/>
  <c r="D7" i="1"/>
  <c r="D18" i="1"/>
  <c r="C19" i="1" s="1"/>
  <c r="C15" i="1"/>
  <c r="AE11" i="2"/>
  <c r="D11" i="2"/>
  <c r="AF10" i="2"/>
  <c r="AG10" i="2"/>
  <c r="AN10" i="2"/>
  <c r="AO10" i="2"/>
  <c r="AP10" i="2"/>
  <c r="AE10" i="2"/>
  <c r="Y10" i="2"/>
  <c r="X10" i="2"/>
  <c r="W10" i="2"/>
  <c r="T10" i="2"/>
  <c r="S10" i="2"/>
  <c r="R10" i="2"/>
  <c r="O10" i="2"/>
  <c r="N10" i="2"/>
  <c r="M10" i="2"/>
  <c r="F10" i="2"/>
  <c r="E10" i="2"/>
  <c r="D10" i="2"/>
  <c r="AM3" i="2"/>
  <c r="AL3" i="2"/>
  <c r="AK3" i="2"/>
  <c r="AJ3" i="2"/>
  <c r="AI3" i="2"/>
  <c r="AH3" i="2"/>
  <c r="AD3" i="2"/>
  <c r="AC3" i="2"/>
  <c r="V3" i="2"/>
  <c r="U3" i="2"/>
  <c r="Q3" i="2"/>
  <c r="P3" i="2"/>
  <c r="H3" i="2"/>
  <c r="I3" i="2"/>
  <c r="J3" i="2"/>
  <c r="K3" i="2"/>
  <c r="L3" i="2"/>
  <c r="G3" i="2"/>
  <c r="C3" i="2"/>
  <c r="B3" i="2"/>
  <c r="C29" i="1"/>
  <c r="C27" i="1" l="1"/>
  <c r="B26" i="1"/>
  <c r="C26" i="1"/>
  <c r="D26" i="1"/>
  <c r="E26" i="1"/>
  <c r="A26" i="1"/>
  <c r="AM14" i="1" l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N14" i="1"/>
  <c r="O14" i="1"/>
  <c r="P14" i="1"/>
  <c r="Q14" i="1"/>
  <c r="O15" i="1" s="1"/>
  <c r="M14" i="1"/>
  <c r="L14" i="1"/>
  <c r="K14" i="1"/>
  <c r="J14" i="1"/>
  <c r="F14" i="1"/>
  <c r="I14" i="1"/>
  <c r="H14" i="1"/>
  <c r="G14" i="1"/>
  <c r="A14" i="1"/>
  <c r="C14" i="1"/>
  <c r="D14" i="1"/>
  <c r="E14" i="1"/>
  <c r="B14" i="1"/>
  <c r="C7" i="1"/>
  <c r="K5" i="1"/>
  <c r="D3" i="1"/>
  <c r="J3" i="1"/>
  <c r="B3" i="1"/>
  <c r="C3" i="1"/>
  <c r="E3" i="1"/>
  <c r="F3" i="1"/>
  <c r="G3" i="1"/>
  <c r="H3" i="1"/>
  <c r="I3" i="1"/>
  <c r="K3" i="1"/>
  <c r="L3" i="1"/>
  <c r="M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B4" i="1" s="1"/>
  <c r="AE3" i="1"/>
  <c r="AF3" i="1"/>
  <c r="AG3" i="1"/>
  <c r="AH3" i="1"/>
  <c r="AI3" i="1"/>
  <c r="AJ3" i="1"/>
  <c r="AK3" i="1"/>
  <c r="AL3" i="1"/>
  <c r="AJ5" i="1" s="1"/>
  <c r="AM3" i="1"/>
  <c r="A3" i="1"/>
  <c r="AF15" i="1" l="1"/>
  <c r="K4" i="1"/>
  <c r="AJ16" i="1"/>
  <c r="AB15" i="1"/>
  <c r="X15" i="1"/>
  <c r="S15" i="1"/>
  <c r="AF4" i="1"/>
  <c r="G4" i="1"/>
  <c r="S4" i="1"/>
  <c r="C4" i="1"/>
  <c r="G15" i="1"/>
  <c r="X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Pech, Jerome</author>
  </authors>
  <commentList>
    <comment ref="C28" authorId="0" shapeId="0" xr:uid="{00000000-0006-0000-0000-000001000000}">
      <text>
        <r>
          <rPr>
            <b/>
            <sz val="9"/>
            <color rgb="FF000000"/>
            <rFont val="Segoe UI"/>
            <family val="2"/>
            <charset val="1"/>
          </rPr>
          <t>Pech, Jerome: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16 Bit; 399A</t>
        </r>
      </text>
    </comment>
    <comment ref="D28" authorId="0" shapeId="0" xr:uid="{00000000-0006-0000-0000-000002000000}">
      <text>
        <r>
          <rPr>
            <b/>
            <sz val="9"/>
            <color rgb="FF000000"/>
            <rFont val="Segoe UI"/>
            <family val="2"/>
            <charset val="1"/>
          </rPr>
          <t>Pech, Jerome: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Fixwert, siehe Doku</t>
        </r>
      </text>
    </comment>
    <comment ref="E28" authorId="0" shapeId="0" xr:uid="{00000000-0006-0000-0000-000003000000}">
      <text>
        <r>
          <rPr>
            <b/>
            <sz val="9"/>
            <color indexed="81"/>
            <rFont val="Segoe UI"/>
            <family val="2"/>
          </rPr>
          <t>Pech, Jerome:</t>
        </r>
        <r>
          <rPr>
            <sz val="9"/>
            <color indexed="81"/>
            <rFont val="Segoe UI"/>
            <family val="2"/>
          </rPr>
          <t xml:space="preserve">
MCLK=4096</t>
        </r>
      </text>
    </comment>
  </commentList>
</comments>
</file>

<file path=xl/sharedStrings.xml><?xml version="1.0" encoding="utf-8"?>
<sst xmlns="http://schemas.openxmlformats.org/spreadsheetml/2006/main" count="147" uniqueCount="72">
  <si>
    <t>E7</t>
  </si>
  <si>
    <t>5E</t>
  </si>
  <si>
    <t>1F</t>
  </si>
  <si>
    <t>0A</t>
  </si>
  <si>
    <t>C0</t>
  </si>
  <si>
    <t>EB</t>
  </si>
  <si>
    <t>EE</t>
  </si>
  <si>
    <t>D5</t>
  </si>
  <si>
    <t>Write</t>
  </si>
  <si>
    <t>Vgain</t>
  </si>
  <si>
    <t>Igain</t>
  </si>
  <si>
    <t>Tsettle</t>
  </si>
  <si>
    <t>Config2</t>
  </si>
  <si>
    <t>Pg. Select</t>
  </si>
  <si>
    <t>Pg Select</t>
  </si>
  <si>
    <t>16</t>
  </si>
  <si>
    <t>Config0</t>
  </si>
  <si>
    <t>Config1</t>
  </si>
  <si>
    <t>Status0</t>
  </si>
  <si>
    <t>Mask</t>
  </si>
  <si>
    <t>Instruction</t>
  </si>
  <si>
    <t>Cont.Conv</t>
  </si>
  <si>
    <t>PGA Gain I Channel : 50x GAIN</t>
  </si>
  <si>
    <t>DO Pin: V zero-crossing</t>
  </si>
  <si>
    <t>DRDY + FUP</t>
  </si>
  <si>
    <t>Number of Output Word Rate</t>
  </si>
  <si>
    <t>samples</t>
  </si>
  <si>
    <t>High Pass Filter for I and V</t>
  </si>
  <si>
    <t>90</t>
  </si>
  <si>
    <t>8F</t>
  </si>
  <si>
    <t>9F</t>
  </si>
  <si>
    <t>EF</t>
  </si>
  <si>
    <t>5F</t>
  </si>
  <si>
    <t>SampleCount</t>
  </si>
  <si>
    <t>011101111110011100111001</t>
  </si>
  <si>
    <t>010111100101111000011000</t>
  </si>
  <si>
    <t>9A</t>
  </si>
  <si>
    <t>Init Baudrate:</t>
  </si>
  <si>
    <t>0</t>
  </si>
  <si>
    <t>SerialCtrl</t>
  </si>
  <si>
    <t>Baud</t>
  </si>
  <si>
    <t>HM-ES-PMSw</t>
  </si>
  <si>
    <t>Innogy:</t>
  </si>
  <si>
    <t>zum CS5490</t>
  </si>
  <si>
    <t>vom CS5490</t>
  </si>
  <si>
    <t>FE</t>
  </si>
  <si>
    <t>FF</t>
  </si>
  <si>
    <t>BA</t>
  </si>
  <si>
    <t>7F</t>
  </si>
  <si>
    <t>Read</t>
  </si>
  <si>
    <r>
      <t>P</t>
    </r>
    <r>
      <rPr>
        <vertAlign val="subscript"/>
        <sz val="11"/>
        <color theme="1"/>
        <rFont val="Calibri (Textkörper)"/>
      </rPr>
      <t>AVG</t>
    </r>
  </si>
  <si>
    <r>
      <t>I</t>
    </r>
    <r>
      <rPr>
        <vertAlign val="subscript"/>
        <sz val="11"/>
        <color theme="1"/>
        <rFont val="Calibri (Textkörper)"/>
      </rPr>
      <t>RMS</t>
    </r>
  </si>
  <si>
    <t>Epsilon</t>
  </si>
  <si>
    <t>DRDY</t>
  </si>
  <si>
    <t>CRDY</t>
  </si>
  <si>
    <t>TUP</t>
  </si>
  <si>
    <t>FUP</t>
  </si>
  <si>
    <t>Data Ready</t>
  </si>
  <si>
    <t>Conversion Ready</t>
  </si>
  <si>
    <t>Temperature Updated</t>
  </si>
  <si>
    <t>Frequency Updated</t>
  </si>
  <si>
    <r>
      <t>V</t>
    </r>
    <r>
      <rPr>
        <vertAlign val="subscript"/>
        <sz val="11"/>
        <color theme="1"/>
        <rFont val="Calibri (Textkörper)"/>
      </rPr>
      <t>RMS</t>
    </r>
  </si>
  <si>
    <t>=&gt; 0,5758</t>
  </si>
  <si>
    <t>Igain=</t>
  </si>
  <si>
    <t>Vgain=</t>
  </si>
  <si>
    <t>R7         = 0,75</t>
  </si>
  <si>
    <t>R4,R5,R6   = 390</t>
  </si>
  <si>
    <t>VGain      = 0,9003636</t>
  </si>
  <si>
    <t>V_FS       = 0,6       // (Default Scale Register Value)</t>
  </si>
  <si>
    <t>V_FS_RMS_V = 0,17678   // (maximum RMS Voltage)</t>
  </si>
  <si>
    <t>V_Reg      = 0,5697891712</t>
  </si>
  <si>
    <t>V_Reg * V_FS_RMS_V / V_FS *  Vgain / (R7/((R4+R5+R6)+R7)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</si>
</sst>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u val="double"/>
      <sz val="11"/>
      <color theme="1"/>
      <name val="Calibri"/>
      <family val="2"/>
      <scheme val="minor"/>
    </font>
    <font>
      <vertAlign val="subscript"/>
      <sz val="11"/>
      <color theme="1"/>
      <name val="Calibri (Textkörper)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u/>
      <sz val="11"/>
      <color theme="1"/>
      <name val="Calibri"/>
      <family val="2"/>
      <scheme val="minor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1" fontId="0" fillId="0" borderId="0" xfId="0" applyNumberFormat="1"/>
    <xf numFmtId="0" fontId="0" fillId="0" borderId="0" xfId="0" applyAlignment="1">
      <alignment horizontal="lef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7" borderId="0" xfId="0" applyFill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2" fontId="2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7"/>
  <sheetViews>
    <sheetView tabSelected="1" zoomScale="115" zoomScaleNormal="115" workbookViewId="0">
      <selection activeCell="G9" sqref="G9"/>
    </sheetView>
  </sheetViews>
  <sheetFormatPr baseColWidth="10" defaultRowHeight="15" x14ac:dyDescent="0.2"/>
  <cols>
    <col min="1" max="2" width="10.33203125" style="2" customWidth="1"/>
    <col min="3" max="3" width="11.6640625" style="2" customWidth="1"/>
    <col min="4" max="4" width="10.33203125" style="2" customWidth="1"/>
    <col min="5" max="5" width="9.1640625" style="2" bestFit="1" customWidth="1"/>
    <col min="6" max="13" width="10.33203125" style="2" customWidth="1"/>
    <col min="14" max="14" width="12.83203125" style="2" bestFit="1" customWidth="1"/>
    <col min="15" max="30" width="10.33203125" style="2" customWidth="1"/>
    <col min="31" max="31" width="11.83203125" style="2" customWidth="1"/>
    <col min="32" max="39" width="10.33203125" style="2" customWidth="1"/>
  </cols>
  <sheetData>
    <row r="1" spans="1:39" x14ac:dyDescent="0.2">
      <c r="A1" s="18" t="s">
        <v>41</v>
      </c>
    </row>
    <row r="2" spans="1:39" x14ac:dyDescent="0.2">
      <c r="A2" s="1">
        <v>90</v>
      </c>
      <c r="B2" s="2">
        <v>63</v>
      </c>
      <c r="C2" s="14">
        <v>77</v>
      </c>
      <c r="D2" s="14" t="s">
        <v>0</v>
      </c>
      <c r="E2" s="14">
        <v>39</v>
      </c>
      <c r="F2" s="2">
        <v>61</v>
      </c>
      <c r="G2" s="14" t="s">
        <v>1</v>
      </c>
      <c r="H2" s="14" t="s">
        <v>1</v>
      </c>
      <c r="I2" s="14">
        <v>18</v>
      </c>
      <c r="J2" s="2">
        <v>79</v>
      </c>
      <c r="K2" s="2">
        <v>40</v>
      </c>
      <c r="L2" s="2" t="s">
        <v>2</v>
      </c>
      <c r="M2" s="2">
        <v>0</v>
      </c>
      <c r="R2" s="2">
        <v>40</v>
      </c>
      <c r="S2" s="2" t="s">
        <v>3</v>
      </c>
      <c r="T2" s="2">
        <v>2</v>
      </c>
      <c r="U2" s="2">
        <v>10</v>
      </c>
      <c r="V2" s="2">
        <v>80</v>
      </c>
      <c r="W2" s="2">
        <v>40</v>
      </c>
      <c r="X2" s="2">
        <v>20</v>
      </c>
      <c r="Y2" s="2">
        <v>20</v>
      </c>
      <c r="Z2" s="2" t="s">
        <v>4</v>
      </c>
      <c r="AA2" s="2">
        <v>41</v>
      </c>
      <c r="AB2" s="2" t="s">
        <v>5</v>
      </c>
      <c r="AC2" s="2" t="s">
        <v>6</v>
      </c>
      <c r="AD2" s="2">
        <v>0</v>
      </c>
      <c r="AE2" s="2">
        <v>43</v>
      </c>
      <c r="AF2" s="2">
        <v>10</v>
      </c>
      <c r="AG2" s="2">
        <v>0</v>
      </c>
      <c r="AH2" s="2">
        <v>80</v>
      </c>
      <c r="AI2" s="2">
        <v>57</v>
      </c>
      <c r="AJ2" s="2">
        <v>10</v>
      </c>
      <c r="AK2" s="2">
        <v>0</v>
      </c>
      <c r="AL2" s="2">
        <v>80</v>
      </c>
      <c r="AM2" s="2" t="s">
        <v>7</v>
      </c>
    </row>
    <row r="3" spans="1:39" x14ac:dyDescent="0.2">
      <c r="A3" s="2" t="str">
        <f>HEX2BIN(A2,8)</f>
        <v>10010000</v>
      </c>
      <c r="B3" s="2" t="str">
        <f t="shared" ref="B3:AM3" si="0">HEX2BIN(B2,8)</f>
        <v>01100011</v>
      </c>
      <c r="C3" s="8" t="str">
        <f t="shared" si="0"/>
        <v>01110111</v>
      </c>
      <c r="D3" s="2" t="str">
        <f>HEX2BIN(D2,8)</f>
        <v>11100111</v>
      </c>
      <c r="E3" s="2" t="str">
        <f t="shared" si="0"/>
        <v>00111001</v>
      </c>
      <c r="F3" s="2" t="str">
        <f t="shared" si="0"/>
        <v>01100001</v>
      </c>
      <c r="G3" s="2" t="str">
        <f t="shared" si="0"/>
        <v>01011110</v>
      </c>
      <c r="H3" s="2" t="str">
        <f t="shared" si="0"/>
        <v>01011110</v>
      </c>
      <c r="I3" s="2" t="str">
        <f t="shared" si="0"/>
        <v>00011000</v>
      </c>
      <c r="J3" s="2" t="str">
        <f>HEX2BIN(J2,8)</f>
        <v>01111001</v>
      </c>
      <c r="K3" s="2" t="str">
        <f t="shared" si="0"/>
        <v>01000000</v>
      </c>
      <c r="L3" s="2" t="str">
        <f t="shared" si="0"/>
        <v>00011111</v>
      </c>
      <c r="M3" s="2" t="str">
        <f t="shared" si="0"/>
        <v>00000000</v>
      </c>
      <c r="R3" s="2" t="str">
        <f t="shared" si="0"/>
        <v>01000000</v>
      </c>
      <c r="S3" s="2" t="str">
        <f t="shared" si="0"/>
        <v>00001010</v>
      </c>
      <c r="T3" s="2" t="str">
        <f t="shared" si="0"/>
        <v>00000010</v>
      </c>
      <c r="U3" s="2" t="str">
        <f t="shared" si="0"/>
        <v>00010000</v>
      </c>
      <c r="V3" s="2" t="str">
        <f t="shared" si="0"/>
        <v>10000000</v>
      </c>
      <c r="W3" s="2" t="str">
        <f t="shared" si="0"/>
        <v>01000000</v>
      </c>
      <c r="X3" s="2" t="str">
        <f t="shared" si="0"/>
        <v>00100000</v>
      </c>
      <c r="Y3" s="2" t="str">
        <f t="shared" si="0"/>
        <v>00100000</v>
      </c>
      <c r="Z3" s="2" t="str">
        <f t="shared" si="0"/>
        <v>11000000</v>
      </c>
      <c r="AA3" s="2" t="str">
        <f t="shared" si="0"/>
        <v>01000001</v>
      </c>
      <c r="AB3" s="2" t="str">
        <f t="shared" si="0"/>
        <v>11101011</v>
      </c>
      <c r="AC3" s="2" t="str">
        <f t="shared" si="0"/>
        <v>11101110</v>
      </c>
      <c r="AD3" s="2" t="str">
        <f t="shared" si="0"/>
        <v>00000000</v>
      </c>
      <c r="AE3" s="2" t="str">
        <f t="shared" si="0"/>
        <v>01000011</v>
      </c>
      <c r="AF3" s="2" t="str">
        <f t="shared" si="0"/>
        <v>00010000</v>
      </c>
      <c r="AG3" s="2" t="str">
        <f t="shared" si="0"/>
        <v>00000000</v>
      </c>
      <c r="AH3" s="2" t="str">
        <f t="shared" si="0"/>
        <v>10000000</v>
      </c>
      <c r="AI3" s="2" t="str">
        <f t="shared" si="0"/>
        <v>01010111</v>
      </c>
      <c r="AJ3" s="2" t="str">
        <f t="shared" si="0"/>
        <v>00010000</v>
      </c>
      <c r="AK3" s="2" t="str">
        <f t="shared" si="0"/>
        <v>00000000</v>
      </c>
      <c r="AL3" s="2" t="str">
        <f t="shared" si="0"/>
        <v>10000000</v>
      </c>
      <c r="AM3" s="2" t="str">
        <f t="shared" si="0"/>
        <v>11010101</v>
      </c>
    </row>
    <row r="4" spans="1:39" x14ac:dyDescent="0.2">
      <c r="A4" s="4" t="s">
        <v>14</v>
      </c>
      <c r="B4" s="3" t="s">
        <v>8</v>
      </c>
      <c r="C4" s="22" t="str">
        <f>_xlfn.CONCAT(E3,D3,C3)</f>
        <v>001110011110011101110111</v>
      </c>
      <c r="D4" s="22"/>
      <c r="E4" s="22"/>
      <c r="F4" s="3" t="s">
        <v>8</v>
      </c>
      <c r="G4" s="22" t="str">
        <f>_xlfn.CONCAT(I3,H3,G3)</f>
        <v>000110000101111001011110</v>
      </c>
      <c r="H4" s="22"/>
      <c r="I4" s="22"/>
      <c r="J4" s="3" t="s">
        <v>8</v>
      </c>
      <c r="K4" s="22" t="str">
        <f>_xlfn.CONCAT(M3,L3,K3)</f>
        <v>000000000001111101000000</v>
      </c>
      <c r="L4" s="22"/>
      <c r="M4" s="22"/>
      <c r="N4" s="9"/>
      <c r="O4" s="9"/>
      <c r="P4" s="9"/>
      <c r="Q4" s="9"/>
      <c r="R4" s="3" t="s">
        <v>8</v>
      </c>
      <c r="S4" s="22" t="str">
        <f>_xlfn.CONCAT(U3," ",T3," ",S3)</f>
        <v>00010000 00000010 00001010</v>
      </c>
      <c r="T4" s="22"/>
      <c r="U4" s="22"/>
      <c r="V4" s="5" t="s">
        <v>13</v>
      </c>
      <c r="W4" s="3" t="s">
        <v>8</v>
      </c>
      <c r="X4" s="22" t="str">
        <f>_xlfn.CONCAT(Z3," ",Y3," ",X3)</f>
        <v>11000000 00100000 00100000</v>
      </c>
      <c r="Y4" s="22"/>
      <c r="Z4" s="22"/>
      <c r="AA4" s="3" t="s">
        <v>8</v>
      </c>
      <c r="AB4" s="22" t="str">
        <f>_xlfn.CONCAT(AD3," ",AC3," ",AB3)</f>
        <v>00000000 11101110 11101011</v>
      </c>
      <c r="AC4" s="22"/>
      <c r="AD4" s="22"/>
      <c r="AE4" s="6" t="s">
        <v>8</v>
      </c>
      <c r="AF4" s="22" t="str">
        <f>_xlfn.CONCAT(AH3," ",AG3," ",AF3)</f>
        <v>10000000 00000000 00010000</v>
      </c>
      <c r="AG4" s="22"/>
      <c r="AH4" s="22"/>
      <c r="AI4" s="6" t="s">
        <v>8</v>
      </c>
      <c r="AM4" s="7" t="s">
        <v>20</v>
      </c>
    </row>
    <row r="5" spans="1:39" x14ac:dyDescent="0.2">
      <c r="A5" s="4" t="s">
        <v>15</v>
      </c>
      <c r="B5" s="3" t="s">
        <v>9</v>
      </c>
      <c r="C5" s="25" t="s">
        <v>34</v>
      </c>
      <c r="D5" s="26"/>
      <c r="E5" s="26"/>
      <c r="F5" s="3" t="s">
        <v>10</v>
      </c>
      <c r="G5" s="25" t="s">
        <v>35</v>
      </c>
      <c r="H5" s="26"/>
      <c r="I5" s="26"/>
      <c r="J5" s="3" t="s">
        <v>11</v>
      </c>
      <c r="K5" s="23">
        <f>8000</f>
        <v>8000</v>
      </c>
      <c r="L5" s="23"/>
      <c r="M5" s="23"/>
      <c r="R5" s="3" t="s">
        <v>12</v>
      </c>
      <c r="S5" s="23" t="s">
        <v>27</v>
      </c>
      <c r="T5" s="23"/>
      <c r="U5" s="23"/>
      <c r="V5" s="5">
        <v>0</v>
      </c>
      <c r="W5" s="3" t="s">
        <v>16</v>
      </c>
      <c r="X5" s="23" t="s">
        <v>22</v>
      </c>
      <c r="Y5" s="23"/>
      <c r="Z5" s="23"/>
      <c r="AA5" s="3" t="s">
        <v>17</v>
      </c>
      <c r="AB5" s="23" t="s">
        <v>23</v>
      </c>
      <c r="AC5" s="23"/>
      <c r="AD5" s="23"/>
      <c r="AE5" s="6" t="s">
        <v>19</v>
      </c>
      <c r="AF5" s="23" t="s">
        <v>24</v>
      </c>
      <c r="AG5" s="23"/>
      <c r="AH5" s="23"/>
      <c r="AI5" s="6" t="s">
        <v>18</v>
      </c>
      <c r="AJ5" s="22" t="str">
        <f>_xlfn.CONCAT(AL3,AK3,AJ3)</f>
        <v>100000000000000000010000</v>
      </c>
      <c r="AK5" s="22"/>
      <c r="AL5" s="22"/>
      <c r="AM5" s="7" t="s">
        <v>21</v>
      </c>
    </row>
    <row r="6" spans="1:39" x14ac:dyDescent="0.2">
      <c r="A6" s="1"/>
      <c r="K6" s="23" t="s">
        <v>25</v>
      </c>
      <c r="L6" s="23"/>
      <c r="M6" s="23"/>
    </row>
    <row r="7" spans="1:39" x14ac:dyDescent="0.2">
      <c r="A7" s="1"/>
      <c r="C7" s="2">
        <f xml:space="preserve"> 3794807</f>
        <v>3794807</v>
      </c>
      <c r="D7" s="10">
        <f>POWER(2,22)</f>
        <v>4194304</v>
      </c>
      <c r="G7" s="2">
        <v>1597022</v>
      </c>
      <c r="H7" s="10">
        <f>POWER(2,22)</f>
        <v>4194304</v>
      </c>
      <c r="K7" s="23" t="s">
        <v>26</v>
      </c>
      <c r="L7" s="23"/>
      <c r="M7" s="23"/>
    </row>
    <row r="8" spans="1:39" x14ac:dyDescent="0.2">
      <c r="A8" s="1"/>
      <c r="B8" s="12" t="s">
        <v>64</v>
      </c>
      <c r="C8" s="2">
        <f>C7/D7</f>
        <v>0.90475249290466309</v>
      </c>
      <c r="F8" s="12" t="s">
        <v>63</v>
      </c>
      <c r="G8" s="2">
        <f>G7 / H7</f>
        <v>0.38075971603393555</v>
      </c>
    </row>
    <row r="9" spans="1:39" x14ac:dyDescent="0.2">
      <c r="A9" s="1"/>
      <c r="B9" s="12"/>
      <c r="C9" s="13"/>
      <c r="D9" s="13"/>
      <c r="F9" s="12"/>
      <c r="G9" s="11"/>
      <c r="H9" s="11"/>
    </row>
    <row r="10" spans="1:39" x14ac:dyDescent="0.2">
      <c r="A10" s="1"/>
      <c r="C10" s="16"/>
      <c r="G10" s="16"/>
    </row>
    <row r="11" spans="1:39" x14ac:dyDescent="0.2">
      <c r="A11" s="1"/>
      <c r="C11" s="16"/>
      <c r="G11" s="16"/>
    </row>
    <row r="12" spans="1:39" x14ac:dyDescent="0.2">
      <c r="A12" s="17" t="s">
        <v>42</v>
      </c>
    </row>
    <row r="13" spans="1:39" x14ac:dyDescent="0.2">
      <c r="A13" s="1" t="s">
        <v>28</v>
      </c>
      <c r="B13" s="2">
        <v>63</v>
      </c>
      <c r="C13" s="14" t="s">
        <v>29</v>
      </c>
      <c r="D13" s="14" t="s">
        <v>30</v>
      </c>
      <c r="E13" s="14">
        <v>39</v>
      </c>
      <c r="F13" s="2">
        <v>61</v>
      </c>
      <c r="G13" s="14" t="s">
        <v>31</v>
      </c>
      <c r="H13" s="14" t="s">
        <v>32</v>
      </c>
      <c r="I13" s="14">
        <v>18</v>
      </c>
      <c r="J13" s="2">
        <v>79</v>
      </c>
      <c r="K13" s="2">
        <v>40</v>
      </c>
      <c r="L13" s="2" t="s">
        <v>2</v>
      </c>
      <c r="M13" s="2">
        <v>0</v>
      </c>
      <c r="N13" s="2">
        <v>73</v>
      </c>
      <c r="O13" s="2">
        <v>90</v>
      </c>
      <c r="P13" s="2">
        <v>1</v>
      </c>
      <c r="Q13" s="2">
        <v>0</v>
      </c>
      <c r="R13" s="2">
        <v>40</v>
      </c>
      <c r="S13" s="2" t="s">
        <v>3</v>
      </c>
      <c r="T13" s="2">
        <v>2</v>
      </c>
      <c r="U13" s="2">
        <v>10</v>
      </c>
      <c r="V13" s="2">
        <v>80</v>
      </c>
      <c r="W13" s="2">
        <v>40</v>
      </c>
      <c r="X13" s="2">
        <v>20</v>
      </c>
      <c r="Y13" s="2">
        <v>20</v>
      </c>
      <c r="Z13" s="2" t="s">
        <v>4</v>
      </c>
      <c r="AA13" s="2">
        <v>41</v>
      </c>
      <c r="AB13" s="2" t="s">
        <v>5</v>
      </c>
      <c r="AC13" s="2" t="s">
        <v>6</v>
      </c>
      <c r="AD13" s="2">
        <v>0</v>
      </c>
      <c r="AE13" s="2">
        <v>43</v>
      </c>
      <c r="AF13" s="2">
        <v>10</v>
      </c>
      <c r="AG13" s="2">
        <v>0</v>
      </c>
      <c r="AH13" s="2">
        <v>80</v>
      </c>
      <c r="AI13" s="2">
        <v>57</v>
      </c>
      <c r="AJ13" s="2">
        <v>10</v>
      </c>
      <c r="AK13" s="2">
        <v>0</v>
      </c>
      <c r="AL13" s="2">
        <v>80</v>
      </c>
      <c r="AM13" s="2" t="s">
        <v>7</v>
      </c>
    </row>
    <row r="14" spans="1:39" x14ac:dyDescent="0.2">
      <c r="A14" s="2" t="str">
        <f>HEX2BIN(A13,8)</f>
        <v>10010000</v>
      </c>
      <c r="B14" s="2" t="str">
        <f>HEX2BIN(B13,8)</f>
        <v>01100011</v>
      </c>
      <c r="C14" s="2" t="str">
        <f t="shared" ref="C14:F14" si="1">HEX2BIN(C13,8)</f>
        <v>10001111</v>
      </c>
      <c r="D14" s="2" t="str">
        <f t="shared" si="1"/>
        <v>10011111</v>
      </c>
      <c r="E14" s="2" t="str">
        <f t="shared" si="1"/>
        <v>00111001</v>
      </c>
      <c r="F14" s="2" t="str">
        <f t="shared" si="1"/>
        <v>01100001</v>
      </c>
      <c r="G14" s="2" t="str">
        <f t="shared" ref="G14:I14" si="2">HEX2BIN(G13,8)</f>
        <v>11101111</v>
      </c>
      <c r="H14" s="2" t="str">
        <f t="shared" si="2"/>
        <v>01011111</v>
      </c>
      <c r="I14" s="2" t="str">
        <f t="shared" si="2"/>
        <v>00011000</v>
      </c>
      <c r="J14" s="2" t="str">
        <f>HEX2BIN(J13,8)</f>
        <v>01111001</v>
      </c>
      <c r="K14" s="2" t="str">
        <f t="shared" ref="K14:M14" si="3">HEX2BIN(K13,8)</f>
        <v>01000000</v>
      </c>
      <c r="L14" s="2" t="str">
        <f t="shared" si="3"/>
        <v>00011111</v>
      </c>
      <c r="M14" s="2" t="str">
        <f t="shared" si="3"/>
        <v>00000000</v>
      </c>
      <c r="N14" s="2" t="str">
        <f>HEX2BIN(N13,8)</f>
        <v>01110011</v>
      </c>
      <c r="O14" s="2" t="str">
        <f>HEX2BIN(O13,8)</f>
        <v>10010000</v>
      </c>
      <c r="P14" s="2" t="str">
        <f>HEX2BIN(P13,8)</f>
        <v>00000001</v>
      </c>
      <c r="Q14" s="2" t="str">
        <f>HEX2BIN(Q13,8)</f>
        <v>00000000</v>
      </c>
      <c r="R14" s="2" t="str">
        <f t="shared" ref="R14:AM14" si="4">HEX2BIN(R13,8)</f>
        <v>01000000</v>
      </c>
      <c r="S14" s="2" t="str">
        <f t="shared" si="4"/>
        <v>00001010</v>
      </c>
      <c r="T14" s="2" t="str">
        <f t="shared" si="4"/>
        <v>00000010</v>
      </c>
      <c r="U14" s="2" t="str">
        <f t="shared" si="4"/>
        <v>00010000</v>
      </c>
      <c r="V14" s="2" t="str">
        <f t="shared" si="4"/>
        <v>10000000</v>
      </c>
      <c r="W14" s="2" t="str">
        <f t="shared" si="4"/>
        <v>01000000</v>
      </c>
      <c r="X14" s="2" t="str">
        <f t="shared" si="4"/>
        <v>00100000</v>
      </c>
      <c r="Y14" s="2" t="str">
        <f t="shared" si="4"/>
        <v>00100000</v>
      </c>
      <c r="Z14" s="2" t="str">
        <f t="shared" si="4"/>
        <v>11000000</v>
      </c>
      <c r="AA14" s="2" t="str">
        <f t="shared" si="4"/>
        <v>01000001</v>
      </c>
      <c r="AB14" s="2" t="str">
        <f t="shared" si="4"/>
        <v>11101011</v>
      </c>
      <c r="AC14" s="2" t="str">
        <f t="shared" si="4"/>
        <v>11101110</v>
      </c>
      <c r="AD14" s="2" t="str">
        <f t="shared" si="4"/>
        <v>00000000</v>
      </c>
      <c r="AE14" s="2" t="str">
        <f t="shared" si="4"/>
        <v>01000011</v>
      </c>
      <c r="AF14" s="2" t="str">
        <f t="shared" si="4"/>
        <v>00010000</v>
      </c>
      <c r="AG14" s="2" t="str">
        <f t="shared" si="4"/>
        <v>00000000</v>
      </c>
      <c r="AH14" s="2" t="str">
        <f t="shared" si="4"/>
        <v>10000000</v>
      </c>
      <c r="AI14" s="2" t="str">
        <f t="shared" si="4"/>
        <v>01010111</v>
      </c>
      <c r="AJ14" s="2" t="str">
        <f t="shared" si="4"/>
        <v>00010000</v>
      </c>
      <c r="AK14" s="2" t="str">
        <f t="shared" si="4"/>
        <v>00000000</v>
      </c>
      <c r="AL14" s="2" t="str">
        <f t="shared" si="4"/>
        <v>10000000</v>
      </c>
      <c r="AM14" s="2" t="str">
        <f t="shared" si="4"/>
        <v>11010101</v>
      </c>
    </row>
    <row r="15" spans="1:39" x14ac:dyDescent="0.2">
      <c r="A15" s="4" t="s">
        <v>14</v>
      </c>
      <c r="B15" s="3" t="s">
        <v>8</v>
      </c>
      <c r="C15" s="23" t="str">
        <f>_xlfn.CONCAT(E14,D14,C14)</f>
        <v>001110011001111110001111</v>
      </c>
      <c r="D15" s="23"/>
      <c r="E15" s="23"/>
      <c r="F15" s="3" t="s">
        <v>8</v>
      </c>
      <c r="G15" s="22" t="str">
        <f>_xlfn.CONCAT(I14,H14,G14)</f>
        <v>000110000101111111101111</v>
      </c>
      <c r="H15" s="22"/>
      <c r="I15" s="22"/>
      <c r="J15" s="3" t="s">
        <v>8</v>
      </c>
      <c r="N15" s="3" t="s">
        <v>8</v>
      </c>
      <c r="O15" s="23" t="str">
        <f>_xlfn.CONCAT(Q14,P14,O14)</f>
        <v>000000000000000110010000</v>
      </c>
      <c r="P15" s="23"/>
      <c r="Q15" s="23"/>
      <c r="R15" s="3" t="s">
        <v>8</v>
      </c>
      <c r="S15" s="22" t="str">
        <f>_xlfn.CONCAT(U14," ",T14," ",S14)</f>
        <v>00010000 00000010 00001010</v>
      </c>
      <c r="T15" s="22"/>
      <c r="U15" s="22"/>
      <c r="V15" s="5" t="s">
        <v>13</v>
      </c>
      <c r="W15" s="3" t="s">
        <v>8</v>
      </c>
      <c r="X15" s="22" t="str">
        <f>_xlfn.CONCAT(Z14," ",Y14," ",X14)</f>
        <v>11000000 00100000 00100000</v>
      </c>
      <c r="Y15" s="22"/>
      <c r="Z15" s="22"/>
      <c r="AA15" s="3" t="s">
        <v>8</v>
      </c>
      <c r="AB15" s="22" t="str">
        <f>_xlfn.CONCAT(AD14," ",AC14," ",AB14)</f>
        <v>00000000 11101110 11101011</v>
      </c>
      <c r="AC15" s="22"/>
      <c r="AD15" s="22"/>
      <c r="AE15" s="6" t="s">
        <v>8</v>
      </c>
      <c r="AF15" s="22" t="str">
        <f>_xlfn.CONCAT(AH14," ",AG14," ",AF14)</f>
        <v>10000000 00000000 00010000</v>
      </c>
      <c r="AG15" s="22"/>
      <c r="AH15" s="22"/>
      <c r="AI15" s="6" t="s">
        <v>8</v>
      </c>
      <c r="AM15" s="7" t="s">
        <v>20</v>
      </c>
    </row>
    <row r="16" spans="1:39" x14ac:dyDescent="0.2">
      <c r="A16" s="4" t="s">
        <v>15</v>
      </c>
      <c r="B16" s="3" t="s">
        <v>9</v>
      </c>
      <c r="C16" s="23"/>
      <c r="D16" s="23"/>
      <c r="E16" s="23"/>
      <c r="F16" s="3" t="s">
        <v>10</v>
      </c>
      <c r="G16" s="22"/>
      <c r="H16" s="22"/>
      <c r="I16" s="22"/>
      <c r="J16" s="3" t="s">
        <v>11</v>
      </c>
      <c r="N16" s="3" t="s">
        <v>33</v>
      </c>
      <c r="O16" s="23">
        <v>400</v>
      </c>
      <c r="P16" s="23"/>
      <c r="Q16" s="23"/>
      <c r="R16" s="3" t="s">
        <v>12</v>
      </c>
      <c r="S16" s="23" t="s">
        <v>27</v>
      </c>
      <c r="T16" s="23"/>
      <c r="U16" s="23"/>
      <c r="V16" s="5">
        <v>0</v>
      </c>
      <c r="W16" s="3" t="s">
        <v>16</v>
      </c>
      <c r="X16" s="23" t="s">
        <v>22</v>
      </c>
      <c r="Y16" s="23"/>
      <c r="Z16" s="23"/>
      <c r="AA16" s="3" t="s">
        <v>17</v>
      </c>
      <c r="AB16" s="23" t="s">
        <v>23</v>
      </c>
      <c r="AC16" s="23"/>
      <c r="AD16" s="23"/>
      <c r="AE16" s="6" t="s">
        <v>19</v>
      </c>
      <c r="AF16" s="23" t="s">
        <v>24</v>
      </c>
      <c r="AG16" s="23"/>
      <c r="AH16" s="23"/>
      <c r="AI16" s="6" t="s">
        <v>18</v>
      </c>
      <c r="AJ16" s="22" t="str">
        <f>_xlfn.CONCAT(AL14,AK14,AJ14)</f>
        <v>100000000000000000010000</v>
      </c>
      <c r="AK16" s="22"/>
      <c r="AL16" s="22"/>
      <c r="AM16" s="7" t="s">
        <v>21</v>
      </c>
    </row>
    <row r="17" spans="1:8" x14ac:dyDescent="0.2">
      <c r="A17" s="1"/>
    </row>
    <row r="18" spans="1:8" x14ac:dyDescent="0.2">
      <c r="A18" s="1"/>
      <c r="C18" s="2">
        <v>3776399</v>
      </c>
      <c r="D18" s="2">
        <f>POWER(2,22)</f>
        <v>4194304</v>
      </c>
      <c r="G18" s="2">
        <v>1597423</v>
      </c>
      <c r="H18" s="2">
        <f>POWER(2,22)</f>
        <v>4194304</v>
      </c>
    </row>
    <row r="19" spans="1:8" x14ac:dyDescent="0.2">
      <c r="A19" s="1"/>
      <c r="B19" s="12" t="s">
        <v>64</v>
      </c>
      <c r="C19" s="2">
        <f>C18 / D18</f>
        <v>0.90036368370056152</v>
      </c>
      <c r="F19" s="12" t="s">
        <v>63</v>
      </c>
      <c r="G19" s="2">
        <f>G18 / H18</f>
        <v>0.38085532188415527</v>
      </c>
    </row>
    <row r="20" spans="1:8" x14ac:dyDescent="0.2">
      <c r="A20" s="1"/>
      <c r="C20" s="11"/>
      <c r="D20" s="9"/>
      <c r="G20" s="11"/>
      <c r="H20" s="9"/>
    </row>
    <row r="21" spans="1:8" x14ac:dyDescent="0.2">
      <c r="A21" s="1"/>
      <c r="C21" s="16"/>
      <c r="G21" s="16"/>
    </row>
    <row r="22" spans="1:8" x14ac:dyDescent="0.2">
      <c r="A22" s="1"/>
    </row>
    <row r="23" spans="1:8" x14ac:dyDescent="0.2">
      <c r="A23" s="1"/>
    </row>
    <row r="24" spans="1:8" x14ac:dyDescent="0.2">
      <c r="A24" s="24" t="s">
        <v>37</v>
      </c>
      <c r="B24" s="24"/>
    </row>
    <row r="25" spans="1:8" x14ac:dyDescent="0.2">
      <c r="A25" s="2">
        <v>80</v>
      </c>
      <c r="B25" s="2">
        <v>47</v>
      </c>
      <c r="C25" s="2" t="s">
        <v>36</v>
      </c>
      <c r="D25" s="2">
        <v>39</v>
      </c>
      <c r="E25" s="2">
        <v>2</v>
      </c>
    </row>
    <row r="26" spans="1:8" x14ac:dyDescent="0.2">
      <c r="A26" s="2" t="str">
        <f>HEX2BIN(A25,8)</f>
        <v>10000000</v>
      </c>
      <c r="B26" s="2" t="str">
        <f t="shared" ref="B26:E26" si="5">HEX2BIN(B25,8)</f>
        <v>01000111</v>
      </c>
      <c r="C26" s="2" t="str">
        <f t="shared" si="5"/>
        <v>10011010</v>
      </c>
      <c r="D26" s="2" t="str">
        <f t="shared" si="5"/>
        <v>00111001</v>
      </c>
      <c r="E26" s="2" t="str">
        <f t="shared" si="5"/>
        <v>00000010</v>
      </c>
    </row>
    <row r="27" spans="1:8" x14ac:dyDescent="0.2">
      <c r="A27" s="4" t="s">
        <v>14</v>
      </c>
      <c r="B27" s="3" t="s">
        <v>8</v>
      </c>
      <c r="C27" s="23" t="str">
        <f>_xlfn.CONCAT(E26,D26,C26)</f>
        <v>000000100011100110011010</v>
      </c>
      <c r="D27" s="23"/>
      <c r="E27" s="23"/>
    </row>
    <row r="28" spans="1:8" x14ac:dyDescent="0.2">
      <c r="A28" s="4" t="s">
        <v>38</v>
      </c>
      <c r="B28" s="3" t="s">
        <v>39</v>
      </c>
      <c r="C28" s="2">
        <v>14746</v>
      </c>
      <c r="D28" s="2">
        <v>524288</v>
      </c>
      <c r="E28" s="2">
        <v>4096000</v>
      </c>
    </row>
    <row r="29" spans="1:8" x14ac:dyDescent="0.2">
      <c r="A29" s="1"/>
      <c r="C29" s="15">
        <f>C28/(D28/E28)</f>
        <v>115203.125</v>
      </c>
      <c r="D29" s="15" t="s">
        <v>40</v>
      </c>
      <c r="E29" s="15"/>
    </row>
    <row r="30" spans="1:8" x14ac:dyDescent="0.2">
      <c r="A30" s="1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</sheetData>
  <mergeCells count="34">
    <mergeCell ref="A24:B24"/>
    <mergeCell ref="C27:E27"/>
    <mergeCell ref="K6:M6"/>
    <mergeCell ref="K7:M7"/>
    <mergeCell ref="S5:U5"/>
    <mergeCell ref="C5:E5"/>
    <mergeCell ref="G5:I5"/>
    <mergeCell ref="K5:M5"/>
    <mergeCell ref="C15:E15"/>
    <mergeCell ref="C16:E16"/>
    <mergeCell ref="G15:I15"/>
    <mergeCell ref="G16:I16"/>
    <mergeCell ref="O15:Q15"/>
    <mergeCell ref="O16:Q16"/>
    <mergeCell ref="AB4:AD4"/>
    <mergeCell ref="AF4:AH4"/>
    <mergeCell ref="AJ5:AL5"/>
    <mergeCell ref="X5:Z5"/>
    <mergeCell ref="AB5:AD5"/>
    <mergeCell ref="AF5:AH5"/>
    <mergeCell ref="C4:E4"/>
    <mergeCell ref="G4:I4"/>
    <mergeCell ref="K4:M4"/>
    <mergeCell ref="S4:U4"/>
    <mergeCell ref="X4:Z4"/>
    <mergeCell ref="AJ16:AL16"/>
    <mergeCell ref="S15:U15"/>
    <mergeCell ref="S16:U16"/>
    <mergeCell ref="X15:Z15"/>
    <mergeCell ref="AB15:AD15"/>
    <mergeCell ref="AF15:AH15"/>
    <mergeCell ref="X16:Z16"/>
    <mergeCell ref="AB16:AD16"/>
    <mergeCell ref="AF16:AH16"/>
  </mergeCells>
  <pageMargins left="0.7" right="0.7" top="0.78740157499999996" bottom="0.78740157499999996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BE31-F21B-A74F-A1CF-C913DAA6A8E8}">
  <dimension ref="A1:AP26"/>
  <sheetViews>
    <sheetView zoomScale="149" zoomScaleNormal="115" workbookViewId="0">
      <selection activeCell="D29" sqref="D29"/>
    </sheetView>
  </sheetViews>
  <sheetFormatPr baseColWidth="10" defaultRowHeight="15" x14ac:dyDescent="0.2"/>
  <cols>
    <col min="1" max="1" width="28.83203125" customWidth="1"/>
  </cols>
  <sheetData>
    <row r="1" spans="1:42" x14ac:dyDescent="0.2">
      <c r="A1" s="18" t="s">
        <v>41</v>
      </c>
    </row>
    <row r="2" spans="1:42" s="2" customFormat="1" x14ac:dyDescent="0.2">
      <c r="A2" s="2" t="s">
        <v>43</v>
      </c>
      <c r="B2" s="2">
        <v>80</v>
      </c>
      <c r="C2" s="2">
        <v>17</v>
      </c>
      <c r="G2" s="2">
        <v>57</v>
      </c>
      <c r="H2" s="2">
        <v>0</v>
      </c>
      <c r="I2" s="2">
        <v>0</v>
      </c>
      <c r="J2" s="2">
        <v>80</v>
      </c>
      <c r="K2" s="2">
        <v>90</v>
      </c>
      <c r="L2" s="2">
        <v>5</v>
      </c>
      <c r="P2" s="2">
        <v>90</v>
      </c>
      <c r="Q2" s="2">
        <v>6</v>
      </c>
      <c r="U2" s="2">
        <v>90</v>
      </c>
      <c r="V2" s="2">
        <v>7</v>
      </c>
      <c r="AC2" s="2">
        <v>80</v>
      </c>
      <c r="AD2" s="2">
        <v>17</v>
      </c>
      <c r="AH2" s="2">
        <v>57</v>
      </c>
      <c r="AI2" s="2">
        <v>10</v>
      </c>
      <c r="AJ2" s="2">
        <v>0</v>
      </c>
      <c r="AK2" s="2">
        <v>0</v>
      </c>
      <c r="AL2" s="2">
        <v>90</v>
      </c>
      <c r="AM2" s="2">
        <v>31</v>
      </c>
    </row>
    <row r="3" spans="1:42" s="2" customFormat="1" x14ac:dyDescent="0.2">
      <c r="B3" s="2" t="str">
        <f t="shared" ref="B3" si="0">HEX2BIN(B2,8)</f>
        <v>10000000</v>
      </c>
      <c r="C3" s="2" t="str">
        <f>HEX2BIN(C2,8)</f>
        <v>00010111</v>
      </c>
      <c r="G3" s="2" t="str">
        <f>HEX2BIN(G2,8)</f>
        <v>01010111</v>
      </c>
      <c r="H3" s="2" t="str">
        <f t="shared" ref="H3:L3" si="1">HEX2BIN(H2,8)</f>
        <v>00000000</v>
      </c>
      <c r="I3" s="2" t="str">
        <f t="shared" si="1"/>
        <v>00000000</v>
      </c>
      <c r="J3" s="2" t="str">
        <f t="shared" si="1"/>
        <v>10000000</v>
      </c>
      <c r="K3" s="2" t="str">
        <f t="shared" si="1"/>
        <v>10010000</v>
      </c>
      <c r="L3" s="2" t="str">
        <f t="shared" si="1"/>
        <v>00000101</v>
      </c>
      <c r="P3" s="2" t="str">
        <f>HEX2BIN(P2,8)</f>
        <v>10010000</v>
      </c>
      <c r="Q3" s="2" t="str">
        <f>HEX2BIN(Q2,8)</f>
        <v>00000110</v>
      </c>
      <c r="U3" s="2" t="str">
        <f>HEX2BIN(U2,8)</f>
        <v>10010000</v>
      </c>
      <c r="V3" s="2" t="str">
        <f>HEX2BIN(V2,8)</f>
        <v>00000111</v>
      </c>
      <c r="AC3" s="2" t="str">
        <f>HEX2BIN(AC2,8)</f>
        <v>10000000</v>
      </c>
      <c r="AD3" s="2" t="str">
        <f>HEX2BIN(AD2,8)</f>
        <v>00010111</v>
      </c>
      <c r="AH3" s="2" t="str">
        <f t="shared" ref="AH3:AM3" si="2">HEX2BIN(AH2,8)</f>
        <v>01010111</v>
      </c>
      <c r="AI3" s="2" t="str">
        <f t="shared" si="2"/>
        <v>00010000</v>
      </c>
      <c r="AJ3" s="2" t="str">
        <f t="shared" si="2"/>
        <v>00000000</v>
      </c>
      <c r="AK3" s="2" t="str">
        <f t="shared" si="2"/>
        <v>00000000</v>
      </c>
      <c r="AL3" s="2" t="str">
        <f t="shared" si="2"/>
        <v>10010000</v>
      </c>
      <c r="AM3" s="2" t="str">
        <f t="shared" si="2"/>
        <v>00110001</v>
      </c>
    </row>
    <row r="4" spans="1:42" x14ac:dyDescent="0.2">
      <c r="B4" s="5" t="s">
        <v>13</v>
      </c>
      <c r="C4" s="19" t="s">
        <v>49</v>
      </c>
      <c r="G4" s="3" t="s">
        <v>8</v>
      </c>
      <c r="K4" s="4" t="s">
        <v>14</v>
      </c>
      <c r="L4" s="19" t="s">
        <v>49</v>
      </c>
      <c r="P4" s="4" t="s">
        <v>14</v>
      </c>
      <c r="Q4" s="19" t="s">
        <v>49</v>
      </c>
      <c r="U4" s="4" t="s">
        <v>14</v>
      </c>
      <c r="V4" s="19" t="s">
        <v>49</v>
      </c>
      <c r="AC4" s="5" t="s">
        <v>13</v>
      </c>
      <c r="AD4" s="19" t="s">
        <v>49</v>
      </c>
      <c r="AH4" s="3" t="s">
        <v>8</v>
      </c>
      <c r="AL4" s="4" t="s">
        <v>14</v>
      </c>
      <c r="AM4" s="19" t="s">
        <v>49</v>
      </c>
    </row>
    <row r="5" spans="1:42" ht="17" x14ac:dyDescent="0.25">
      <c r="B5" s="5">
        <v>0</v>
      </c>
      <c r="C5" s="19" t="s">
        <v>18</v>
      </c>
      <c r="G5" s="6" t="s">
        <v>18</v>
      </c>
      <c r="K5" s="4" t="s">
        <v>15</v>
      </c>
      <c r="L5" s="19" t="s">
        <v>50</v>
      </c>
      <c r="P5" s="4" t="s">
        <v>15</v>
      </c>
      <c r="Q5" s="19" t="s">
        <v>51</v>
      </c>
      <c r="U5" s="4" t="s">
        <v>15</v>
      </c>
      <c r="V5" s="19" t="s">
        <v>61</v>
      </c>
      <c r="AC5" s="5">
        <v>0</v>
      </c>
      <c r="AD5" s="19" t="s">
        <v>18</v>
      </c>
      <c r="AH5" s="6" t="s">
        <v>18</v>
      </c>
      <c r="AL5" s="4" t="s">
        <v>15</v>
      </c>
      <c r="AM5" s="19" t="s">
        <v>52</v>
      </c>
    </row>
    <row r="6" spans="1:42" x14ac:dyDescent="0.2">
      <c r="B6" s="2"/>
    </row>
    <row r="7" spans="1:42" x14ac:dyDescent="0.2">
      <c r="B7" s="2"/>
    </row>
    <row r="8" spans="1:42" x14ac:dyDescent="0.2">
      <c r="B8" s="2"/>
      <c r="W8" s="2"/>
      <c r="X8" s="2"/>
      <c r="Y8" s="2"/>
      <c r="Z8" s="20"/>
    </row>
    <row r="9" spans="1:42" s="2" customFormat="1" x14ac:dyDescent="0.2">
      <c r="A9" s="2" t="s">
        <v>44</v>
      </c>
      <c r="D9" s="2">
        <v>30</v>
      </c>
      <c r="E9" s="2">
        <v>0</v>
      </c>
      <c r="F9" s="2" t="s">
        <v>4</v>
      </c>
      <c r="M9" s="2" t="s">
        <v>45</v>
      </c>
      <c r="N9" s="2" t="s">
        <v>46</v>
      </c>
      <c r="O9" s="2" t="s">
        <v>46</v>
      </c>
      <c r="R9" s="2" t="s">
        <v>3</v>
      </c>
      <c r="S9" s="2">
        <v>1</v>
      </c>
      <c r="T9" s="2">
        <v>0</v>
      </c>
      <c r="W9" s="2" t="s">
        <v>47</v>
      </c>
      <c r="X9" s="2">
        <v>69</v>
      </c>
      <c r="Y9" s="2">
        <v>93</v>
      </c>
      <c r="Z9" s="21" t="s">
        <v>62</v>
      </c>
      <c r="AE9" s="2">
        <v>30</v>
      </c>
      <c r="AF9" s="2">
        <v>0</v>
      </c>
      <c r="AG9" s="2">
        <v>40</v>
      </c>
      <c r="AN9" s="2" t="s">
        <v>48</v>
      </c>
      <c r="AO9" s="2">
        <v>99</v>
      </c>
      <c r="AP9" s="2">
        <v>1</v>
      </c>
    </row>
    <row r="10" spans="1:42" s="2" customFormat="1" x14ac:dyDescent="0.2">
      <c r="D10" s="2" t="str">
        <f t="shared" ref="D10:F10" si="3">HEX2BIN(D9,8)</f>
        <v>00110000</v>
      </c>
      <c r="E10" s="2" t="str">
        <f t="shared" si="3"/>
        <v>00000000</v>
      </c>
      <c r="F10" s="2" t="str">
        <f t="shared" si="3"/>
        <v>11000000</v>
      </c>
      <c r="M10" s="2" t="str">
        <f t="shared" ref="M10:O10" si="4">HEX2BIN(M9,8)</f>
        <v>11111110</v>
      </c>
      <c r="N10" s="2" t="str">
        <f t="shared" si="4"/>
        <v>11111111</v>
      </c>
      <c r="O10" s="2" t="str">
        <f t="shared" si="4"/>
        <v>11111111</v>
      </c>
      <c r="R10" s="2" t="str">
        <f t="shared" ref="R10:T10" si="5">HEX2BIN(R9,8)</f>
        <v>00001010</v>
      </c>
      <c r="S10" s="2" t="str">
        <f t="shared" si="5"/>
        <v>00000001</v>
      </c>
      <c r="T10" s="2" t="str">
        <f t="shared" si="5"/>
        <v>00000000</v>
      </c>
      <c r="W10" s="2" t="str">
        <f t="shared" ref="W10:Y10" si="6">HEX2BIN(W9,8)</f>
        <v>10111010</v>
      </c>
      <c r="X10" s="2" t="str">
        <f t="shared" si="6"/>
        <v>01101001</v>
      </c>
      <c r="Y10" s="2" t="str">
        <f t="shared" si="6"/>
        <v>10010011</v>
      </c>
      <c r="Z10"/>
      <c r="AE10" s="2" t="str">
        <f t="shared" ref="AE10:AF10" si="7">HEX2BIN(AE9,8)</f>
        <v>00110000</v>
      </c>
      <c r="AF10" s="2" t="str">
        <f t="shared" si="7"/>
        <v>00000000</v>
      </c>
      <c r="AG10" s="2" t="str">
        <f t="shared" ref="AG10" si="8">HEX2BIN(AG9,8)</f>
        <v>01000000</v>
      </c>
      <c r="AN10" s="2" t="str">
        <f t="shared" ref="AN10" si="9">HEX2BIN(AN9,8)</f>
        <v>01111111</v>
      </c>
      <c r="AO10" s="2" t="str">
        <f t="shared" ref="AO10" si="10">HEX2BIN(AO9,8)</f>
        <v>10011001</v>
      </c>
      <c r="AP10" s="2" t="str">
        <f t="shared" ref="AP10" si="11">HEX2BIN(AP9,8)</f>
        <v>00000001</v>
      </c>
    </row>
    <row r="11" spans="1:42" x14ac:dyDescent="0.2">
      <c r="D11" s="23" t="str">
        <f>_xlfn.CONCAT(F10," ",E10," ",D10)</f>
        <v>11000000 00000000 00110000</v>
      </c>
      <c r="E11" s="23"/>
      <c r="F11" s="23"/>
      <c r="AE11" s="23" t="str">
        <f>_xlfn.CONCAT(AG10," ",AF10," ",AE10)</f>
        <v>01000000 00000000 00110000</v>
      </c>
      <c r="AF11" s="23"/>
      <c r="AG11" s="23"/>
    </row>
    <row r="12" spans="1:42" x14ac:dyDescent="0.2">
      <c r="D12" t="s">
        <v>53</v>
      </c>
      <c r="E12" t="s">
        <v>57</v>
      </c>
    </row>
    <row r="13" spans="1:42" x14ac:dyDescent="0.2">
      <c r="D13" t="s">
        <v>54</v>
      </c>
      <c r="E13" t="s">
        <v>58</v>
      </c>
      <c r="AE13" t="s">
        <v>54</v>
      </c>
      <c r="AF13" t="s">
        <v>58</v>
      </c>
    </row>
    <row r="14" spans="1:42" x14ac:dyDescent="0.2">
      <c r="D14" t="s">
        <v>55</v>
      </c>
      <c r="E14" t="s">
        <v>59</v>
      </c>
      <c r="AE14" t="s">
        <v>55</v>
      </c>
      <c r="AF14" t="s">
        <v>59</v>
      </c>
    </row>
    <row r="15" spans="1:42" x14ac:dyDescent="0.2">
      <c r="D15" t="s">
        <v>56</v>
      </c>
      <c r="E15" t="s">
        <v>60</v>
      </c>
      <c r="AE15" t="s">
        <v>56</v>
      </c>
      <c r="AF15" t="s">
        <v>60</v>
      </c>
    </row>
    <row r="26" spans="25:25" x14ac:dyDescent="0.2">
      <c r="Y26" s="2"/>
    </row>
  </sheetData>
  <mergeCells count="2">
    <mergeCell ref="D11:F11"/>
    <mergeCell ref="AE11:AG11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11BDD-E230-4946-BAC2-20BEA8F18926}">
  <dimension ref="A1:A11"/>
  <sheetViews>
    <sheetView zoomScale="125" zoomScaleNormal="125" workbookViewId="0">
      <selection activeCell="A11" sqref="A11"/>
    </sheetView>
  </sheetViews>
  <sheetFormatPr baseColWidth="10" defaultRowHeight="15" x14ac:dyDescent="0.2"/>
  <cols>
    <col min="1" max="1" width="48.6640625" bestFit="1" customWidth="1"/>
  </cols>
  <sheetData>
    <row r="1" spans="1:1" x14ac:dyDescent="0.2">
      <c r="A1" t="s">
        <v>65</v>
      </c>
    </row>
    <row r="2" spans="1:1" x14ac:dyDescent="0.2">
      <c r="A2" t="s">
        <v>66</v>
      </c>
    </row>
    <row r="4" spans="1:1" x14ac:dyDescent="0.2">
      <c r="A4" t="s">
        <v>67</v>
      </c>
    </row>
    <row r="5" spans="1:1" x14ac:dyDescent="0.2">
      <c r="A5" t="s">
        <v>68</v>
      </c>
    </row>
    <row r="6" spans="1:1" x14ac:dyDescent="0.2">
      <c r="A6" t="s">
        <v>69</v>
      </c>
    </row>
    <row r="8" spans="1:1" x14ac:dyDescent="0.2">
      <c r="A8" t="s">
        <v>70</v>
      </c>
    </row>
    <row r="11" spans="1:1" x14ac:dyDescent="0.2">
      <c r="A11" t="s">
        <v>71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HM-ES-PMSw1-PL</vt:lpstr>
      <vt:lpstr>Auslesen</vt:lpstr>
      <vt:lpstr>Berechnung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Pech, Jerome</dc:creator>
  <cp:lastModifiedBy>Jerome Pech</cp:lastModifiedBy>
  <dcterms:created xsi:type="dcterms:W3CDTF">2025-07-24T07:53:13Z</dcterms:created>
  <dcterms:modified xsi:type="dcterms:W3CDTF">2025-11-02T21:56:52Z</dcterms:modified>
</cp:coreProperties>
</file>